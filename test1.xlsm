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2191105\Desktop\DATA from the actual PC\"/>
    </mc:Choice>
  </mc:AlternateContent>
  <xr:revisionPtr revIDLastSave="0" documentId="13_ncr:1_{02D32117-1790-4157-B167-0F53ECD18E40}" xr6:coauthVersionLast="36" xr6:coauthVersionMax="36" xr10:uidLastSave="{00000000-0000-0000-0000-000000000000}"/>
  <bookViews>
    <workbookView xWindow="2300" yWindow="2300" windowWidth="17280" windowHeight="9020" firstSheet="1" activeTab="1" xr2:uid="{DA8EF1DF-A238-493D-AD0F-6FCE2DCC3CAF}"/>
  </bookViews>
  <sheets>
    <sheet name="ASWXL.Storage" sheetId="2" state="veryHidden" r:id="rId1"/>
    <sheet name="Tabelle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2" i="1" l="1"/>
  <c r="W63" i="1"/>
  <c r="W64" i="1"/>
  <c r="W65" i="1"/>
  <c r="W61" i="1" s="1"/>
  <c r="W66" i="1"/>
  <c r="W67" i="1"/>
  <c r="W76" i="1"/>
  <c r="W75" i="1" s="1"/>
  <c r="W77" i="1"/>
  <c r="W78" i="1"/>
  <c r="W79" i="1"/>
  <c r="W80" i="1"/>
  <c r="W81" i="1"/>
  <c r="V9" i="1"/>
  <c r="U9" i="1"/>
  <c r="S9" i="1"/>
  <c r="Q9" i="1"/>
  <c r="P9" i="1"/>
  <c r="Z81" i="1"/>
  <c r="Y81" i="1"/>
  <c r="X81" i="1"/>
  <c r="V81" i="1"/>
  <c r="U81" i="1"/>
  <c r="T81" i="1"/>
  <c r="S81" i="1"/>
  <c r="R81" i="1"/>
  <c r="Q81" i="1"/>
  <c r="Z80" i="1"/>
  <c r="Y80" i="1"/>
  <c r="X80" i="1"/>
  <c r="V80" i="1"/>
  <c r="U80" i="1"/>
  <c r="T80" i="1"/>
  <c r="S80" i="1"/>
  <c r="R80" i="1"/>
  <c r="Q80" i="1"/>
  <c r="Z79" i="1"/>
  <c r="Y79" i="1"/>
  <c r="X79" i="1"/>
  <c r="V79" i="1"/>
  <c r="U79" i="1"/>
  <c r="T79" i="1"/>
  <c r="S79" i="1"/>
  <c r="R79" i="1"/>
  <c r="Q79" i="1"/>
  <c r="Z78" i="1"/>
  <c r="Y78" i="1"/>
  <c r="Y75" i="1" s="1"/>
  <c r="X78" i="1"/>
  <c r="V78" i="1"/>
  <c r="U78" i="1"/>
  <c r="T78" i="1"/>
  <c r="S78" i="1"/>
  <c r="R78" i="1"/>
  <c r="Q78" i="1"/>
  <c r="Z77" i="1"/>
  <c r="Y77" i="1"/>
  <c r="X77" i="1"/>
  <c r="V77" i="1"/>
  <c r="U77" i="1"/>
  <c r="T77" i="1"/>
  <c r="S77" i="1"/>
  <c r="R77" i="1"/>
  <c r="Q77" i="1"/>
  <c r="Z76" i="1"/>
  <c r="Y76" i="1"/>
  <c r="X76" i="1"/>
  <c r="V76" i="1"/>
  <c r="U76" i="1"/>
  <c r="U75" i="1" s="1"/>
  <c r="T76" i="1"/>
  <c r="S76" i="1"/>
  <c r="R76" i="1"/>
  <c r="Q76" i="1"/>
  <c r="R61" i="1"/>
  <c r="S61" i="1"/>
  <c r="T61" i="1"/>
  <c r="U61" i="1"/>
  <c r="V61" i="1"/>
  <c r="X61" i="1"/>
  <c r="Y61" i="1"/>
  <c r="Z61" i="1"/>
  <c r="R62" i="1"/>
  <c r="S62" i="1"/>
  <c r="T62" i="1"/>
  <c r="U62" i="1"/>
  <c r="V62" i="1"/>
  <c r="X62" i="1"/>
  <c r="Y62" i="1"/>
  <c r="Z62" i="1"/>
  <c r="R63" i="1"/>
  <c r="S63" i="1"/>
  <c r="T63" i="1"/>
  <c r="U63" i="1"/>
  <c r="V63" i="1"/>
  <c r="X63" i="1"/>
  <c r="Y63" i="1"/>
  <c r="Z63" i="1"/>
  <c r="R64" i="1"/>
  <c r="S64" i="1"/>
  <c r="T64" i="1"/>
  <c r="U64" i="1"/>
  <c r="V64" i="1"/>
  <c r="X64" i="1"/>
  <c r="Y64" i="1"/>
  <c r="Z64" i="1"/>
  <c r="R65" i="1"/>
  <c r="S65" i="1"/>
  <c r="T65" i="1"/>
  <c r="U65" i="1"/>
  <c r="V65" i="1"/>
  <c r="X65" i="1"/>
  <c r="Y65" i="1"/>
  <c r="Z65" i="1"/>
  <c r="R66" i="1"/>
  <c r="S66" i="1"/>
  <c r="T66" i="1"/>
  <c r="U66" i="1"/>
  <c r="V66" i="1"/>
  <c r="X66" i="1"/>
  <c r="Y66" i="1"/>
  <c r="Z66" i="1"/>
  <c r="R67" i="1"/>
  <c r="S67" i="1"/>
  <c r="T67" i="1"/>
  <c r="U67" i="1"/>
  <c r="V67" i="1"/>
  <c r="X67" i="1"/>
  <c r="Y67" i="1"/>
  <c r="Z67" i="1"/>
  <c r="Q67" i="1"/>
  <c r="Q66" i="1"/>
  <c r="Q65" i="1"/>
  <c r="Q64" i="1"/>
  <c r="Q63" i="1"/>
  <c r="Q62" i="1"/>
  <c r="Q61" i="1"/>
  <c r="I28" i="1"/>
  <c r="C11" i="1"/>
  <c r="X75" i="1" l="1"/>
  <c r="V75" i="1"/>
  <c r="T75" i="1"/>
  <c r="S75" i="1"/>
  <c r="R75" i="1"/>
  <c r="Q75" i="1"/>
  <c r="Z75" i="1"/>
</calcChain>
</file>

<file path=xl/sharedStrings.xml><?xml version="1.0" encoding="utf-8"?>
<sst xmlns="http://schemas.openxmlformats.org/spreadsheetml/2006/main" count="196" uniqueCount="99">
  <si>
    <t>Input</t>
  </si>
  <si>
    <t>Temp</t>
  </si>
  <si>
    <t>Output</t>
  </si>
  <si>
    <t>Testforthething.bkp</t>
  </si>
  <si>
    <t>ASWXL Storage Version 37.0.0.0</t>
  </si>
  <si>
    <t>C:\Program Files (x86)\AspenTech\Aspen Simulation Workbook V11.0</t>
  </si>
  <si>
    <t>CONV</t>
  </si>
  <si>
    <t>Application.Tree.FindNode("\Data\Components\Specifications\Input\TYPE\ETHAN-01")</t>
  </si>
  <si>
    <t>Type of Compound</t>
  </si>
  <si>
    <t>Initial Specification of Components</t>
  </si>
  <si>
    <t>Application.Tree.FindNode("\Data\Setup\Stream-Price\Output\COST\FEED")</t>
  </si>
  <si>
    <t>Value of Streams</t>
  </si>
  <si>
    <t>Application.Tree.FindNode("\Data\Results Summary\Utility-Sum\Output\PRODSTR_COST")</t>
  </si>
  <si>
    <t>Productstream costs</t>
  </si>
  <si>
    <t>POSSIBLE OUTPUTS</t>
  </si>
  <si>
    <t>days</t>
  </si>
  <si>
    <t>Unit of Measure is</t>
  </si>
  <si>
    <t>Application.Tree.FindNode("\Data\Setup\Sim-Options\Input\STARTUP")</t>
  </si>
  <si>
    <t>Start up time</t>
  </si>
  <si>
    <t xml:space="preserve"> years</t>
  </si>
  <si>
    <t>Application.Tree.FindNode("\Data\Setup\Sim-Options\Input\PLANT_LIFE")</t>
  </si>
  <si>
    <t>Plant Lifetime</t>
  </si>
  <si>
    <t>Application.Tree.FindNode("\Data\Setup\Stream-Price\Input\DESTBLK\FEED")</t>
  </si>
  <si>
    <t>DestinationBlock</t>
  </si>
  <si>
    <t>Application.Tree.FindNode("\Data\Setup\Stream-Price\Input\SOURCEBLK\B1T")</t>
  </si>
  <si>
    <t>SourceBlock</t>
  </si>
  <si>
    <t>Application.Tree.FindNode("\Data\Setup\Stream-Price\Input\PRICE")</t>
  </si>
  <si>
    <t>Price of Feed</t>
  </si>
  <si>
    <t>Numbers!!!</t>
  </si>
  <si>
    <t>POSSIBLE INPUTS</t>
  </si>
  <si>
    <t>Things which are needed for economic analusis</t>
  </si>
  <si>
    <t xml:space="preserve">which is </t>
  </si>
  <si>
    <t>ASPENheavykeyfirstseparation.bkp</t>
  </si>
  <si>
    <t>ASPENequimolarseparation.bkp</t>
  </si>
  <si>
    <t>One of the best cases is found here:</t>
  </si>
  <si>
    <t>reward:</t>
  </si>
  <si>
    <t>std V1 vs V2</t>
  </si>
  <si>
    <t>['PROPY-01', 'ETHAN-01', 'PROPA-01', 'N-BUT-01', '1-BUT-01']</t>
  </si>
  <si>
    <t>['Initial Feed', 'B1T', 'B2T', 'B1B', 'B4B']</t>
  </si>
  <si>
    <t>lightkey</t>
  </si>
  <si>
    <t>Feed</t>
  </si>
  <si>
    <t>ASPENlargestcomponentfirst.bkp</t>
  </si>
  <si>
    <t>Mole Flows</t>
  </si>
  <si>
    <t>kmol/hr</t>
  </si>
  <si>
    <t>PROPA-01</t>
  </si>
  <si>
    <t>N-BUT-01</t>
  </si>
  <si>
    <t>1-BUT-01</t>
  </si>
  <si>
    <t>ETHAN-01</t>
  </si>
  <si>
    <t>PROPY-01</t>
  </si>
  <si>
    <t>N-PEN-01</t>
  </si>
  <si>
    <t>B1B</t>
  </si>
  <si>
    <t>B1T</t>
  </si>
  <si>
    <t>B2B</t>
  </si>
  <si>
    <t>B2T</t>
  </si>
  <si>
    <t>B3B</t>
  </si>
  <si>
    <t>B3T</t>
  </si>
  <si>
    <t>4b</t>
  </si>
  <si>
    <t>4t</t>
  </si>
  <si>
    <t>5b</t>
  </si>
  <si>
    <t>5t</t>
  </si>
  <si>
    <t>lightkey sequence</t>
  </si>
  <si>
    <t>lightkey_for_max_reward_original = ['ETHAN-01', 'N-BUT-01', 'N-BUT-01', 'PROPA-01', 'PROPA-01']</t>
  </si>
  <si>
    <t>feed_for_max_reward_original = ['Initial Feed', 'B1B', 'B2T', 'B3T', 'B1T']</t>
  </si>
  <si>
    <t>feed sequence</t>
  </si>
  <si>
    <t>reward</t>
  </si>
  <si>
    <t>Ethane</t>
  </si>
  <si>
    <t>Billion kg</t>
  </si>
  <si>
    <t>mt</t>
  </si>
  <si>
    <t>per 1000 kg</t>
  </si>
  <si>
    <t>$/kg</t>
  </si>
  <si>
    <t>$/g</t>
  </si>
  <si>
    <t>g/mol</t>
  </si>
  <si>
    <t>$/mol</t>
  </si>
  <si>
    <t>mol/h</t>
  </si>
  <si>
    <t>$/h</t>
  </si>
  <si>
    <t>sheet</t>
  </si>
  <si>
    <t>calc</t>
  </si>
  <si>
    <t>"MOLE FRACTION OF LIGHTEST KEY FIRST SEPARATION"</t>
  </si>
  <si>
    <t>reward Version 1 in the ASPENlightkeyfirstseparation.bkp: 2528.6200530146325</t>
  </si>
  <si>
    <t>reward Version 2 in the ASPENlightkeyfirstseparation.bkp: 352.58782576465137</t>
  </si>
  <si>
    <t>Monetary gain V1 2662.553731829981</t>
  </si>
  <si>
    <t>Monetary gain V2 486.52150458</t>
  </si>
  <si>
    <t>Punishment 0.0</t>
  </si>
  <si>
    <t>Mooney for Bankers 3.1598257287402682</t>
  </si>
  <si>
    <t>Operational costs: 130.77381508660838</t>
  </si>
  <si>
    <t>Monetary gain V1 2671.5759259509255</t>
  </si>
  <si>
    <t>Monetary gain V2 1487.0433247400001</t>
  </si>
  <si>
    <t>Mooney for Bankers 2.855236397050654</t>
  </si>
  <si>
    <t>Operational costs: 26.782642818310087</t>
  </si>
  <si>
    <t>reward Version 1 in the ASPENheavykeyfirstseparation.bkp: 2641.9380087355644</t>
  </si>
  <si>
    <t>reward Version 2 in the ASPENheavykeyfirstseparation.bkp: 1457.4054075246395</t>
  </si>
  <si>
    <t xml:space="preserve">'ASPENlargestcomponentfirst.bkp' </t>
  </si>
  <si>
    <t>Monetary gain V1 2659.181834390248</t>
  </si>
  <si>
    <t>Monetary gain V2 995.4765000000001</t>
  </si>
  <si>
    <t>Mooney for Bankers 3.127405243251433</t>
  </si>
  <si>
    <t>Operational costs: 38.79707857392059</t>
  </si>
  <si>
    <t>reward Version 1 in the ASPENlargestcomponentfirst.bkp: 2617.2573125730755</t>
  </si>
  <si>
    <t>reward Version 2 in the ASPENlargestcomponentfirst.bkp: 953.5519781828281</t>
  </si>
  <si>
    <t>UEsDBBQAAAAIACiP1lKi/BN1zxIAAF/WAAAYAEIAQXNwZW5UZWNoLkFTV1hMLldvcmtib29rTlU2AE5VQ1gYAEEAcwBwAGUAbgBUAGUAYwBoAC4AQQBTAFcAWABMAC4AVwBvAHIAawBiAG8AbwBrAAoABAAAAAAA7F3pc9tGlqcsyTpsK3I88eSwZ1iqbNXslkwdtmPHJTklU5bDimQpomIn5XIxLaBJwgLQTAPQkT9j/4+9d7P3MbPHzN4ze+/OHh/263zYb/PR269xNUCQIimAwMSQShBe9+vuX79+/frhdYMsjBQKhZfsB/7Dz8Vz7PLZmtHC+h6WmqW16tNPN0trsqzo88UnmBoK0Vdv3iktwu98sWyppkXxqo4tkyJ1vrhj7auK9BE+2SMHWF9dRJJ0+6a0ePf9+vLiXbk+Du28Ga7+KaEH+4QcXGGZo7VD6WLNUDRLRSZrzLhcQ5KpHOKql3Sx1qK4jinWJWxcrCm6YipIVb7E8kxNQ4aJ6ToyURWbV4NkycH/hpBcJrpJiapieqlGkd7AW0hHDUwv1hqUWK01iTVhXKkhyyQaa1zaQ41PWjIy8fXaOlaxiffQvoqfNrHOSUVv7EItP1ezONfDYwmrG5Yu8a4A2zbrutvft2sGOsSbin6AZda9bVYH7ysreI1nPdT2sSy3ZX67VidUwhuWqu7iOsVGc1vftfQy0VoASQaRAe4NjGB0tlDras0EnA9UpB+UiQq9xrppvF1DxhHvwRpHuIN0/FAHWh4bOzdWYL9jY7ZijI0W5sLj9gRRBZjLIEBeAWjP7TCbn23YKf5QBku+Gy65441zkHHkW2FOGEv7Fu6AZ/I73Xn8kQfua2HmXUEZgOGdMMMjXz84JP5TbJs5oYEA1q9GqydM/7SAYB5hHVNFKq0rPAHRk8+Xnz1zGKsmZZo1X9QMiVBV2fen4q1eZ+L+nTvotnT7vaX3b97CbD4+n3/WL4qKbt5cTgjE9v4LhiHeyp/HXN0IDN7UKFxgUkxPjcO4T52HKyROwGWSXcZ/yixqN4UB9olDpFq4VitMQrVQK9MhVtHUNFRzAchxSO1x1p2vIUrRyfmaRCzdHGvX14pb7tlzPj14Zy46Zn987EwTN9z49bbG/ZJi85fc5sd7nf0g4+lNguQNZgwJnXCGdRJsH6KYzn6IjGaZyHiHkkNFxnQSEqpscRhjI2ucfwJCN5i8R1mjFyavRcyBilvXu1GZbfVDR37y8d0PoB/T01w7ZuDyGvQLdOMUWwUlvumuULtYI7CION2a+lRTq1ITa+gCu1tX6vVHFGmjIyMzDjSHjwtzFgbiMrv834/PrXxwrKnFQ0fn55ZKi3NFJkjClvHG6pxl1m8svTf3wf1L0yvHxj2Dt1BU5NU5D9Vc0US0gc3HSMNGC0l4da5pmq17Cwus2ZZFlRKhjQXgNLC5VDo25Lkia1I37mmGqRu9cvdc67HPenR0VDq6yTmXFxeXFj7d2rRl5CNgSy9i3aS60zfjhqZIlBikbt6QiHaP8d2wufwyLUpap5cBrrkiMplB3rdMvEGoto7riNmS1bkvLOaF1BXMQDNfQGMLbIdsJvdiESTvsBV1JuWA8G1w9yqGoxircya1sJf+iYHLFmVTw9wkElKxk83rtWuWuC9wvHfSwk6qk94kioSLmqJvS5JFmVSZZmjo2KUsfZ9NYdkF6RcMQmVukGtOABRI5Z6gbcti6c6A/FwDf2HBRA9lRTVdWffEsIuRvK2rJyHprDFnraJLlJdy80zW8Oocq03RTY+zfx1f6AEh1Cc0aPDFO+E217EhUaUFRirOpoN60gsQbmAFCDKxHCUZGoRP2AOBka4UPoa5bp6kC4I7HOlC4F70EMdiZaGTMeE50UaIZzm4e7B6e52s3uIrbfUyY4G4zqULgTmJH7JRwnSXHAlI2DO/ihETj+z6BHWkGsM1jgyaMFLZwwdqDG4TMtMdwgeEsvFbo+ANxTaPBhPHU0U2mxkbJm4Eq+aJmvJM21PMTOCA6c7azACSiq5jamtvinq7hVkba7pcZkkBIJ7yDhFM1USmFeWFeBNo+6OffZdkUzHMBD0Q3ga4IUP0KcpNRZWH3CZbErfrdVZmSLMncf1Yc4MVr7R76kshVetcJqql6SkaZmehSnmNauiEYjmLPk2M1maQhSroPgy7/Qes9JBdmGTN3xaRsZpHKjshjDtS2b/GZSZqEI5bpgAhA3HLTXIU8NbTkEKrlTaEDAROwfqki2AHBYIOKSDw94wzEFDMwsQsq0hrec2WETebTl7RycyUR8XncgfUPC+TqMtEl70NnDBsyFTgFsvFTOzyACBn8eqGNQPrm+sEdR3ugH80lJmlwJE4R1BfF7+XPfa7ypn7t8ntxCc7iA+PTUx1pCY/kmmcWBBU9OsQaHOfNPPd4UiEmXnOy3eHT4GW6d3hDVVpOVuPoS2dLKDL967zvet87zrfu873rvt3mfLd63z3OlpD8v3rfP8637/O969fxf3rPdRY5kYw37uOPvkm4PTC3iyn6O75F1OdD1uy2gEjH9SMoGTysgOAUYJM/4gAE2I0PFuG6QO035hvx+e8SZ+t7Q4+bSJ3i+xpk/rbW3zORAJ050zqG1nwIRD2WY0oGWbgGAeTYQeAtgwzADHfZE0GqXOCJ/qMwKaiKWa609s53hN9GiAD+E4/aMFB2gcXoo17pg5YZAktfICB/YEO6Y5xh8NV3qIc8LqHuzOVslVmPd9iIkh5eFCjLYaVDgzYC0t5JQc1HC6MIT3R5mG9PKyXh/XysN4rHdbLTwtFIsxPC+WnhfLzOPl5nPw8Tn4eJz+PI8AZoleSH8jJD+R0eBIYimuatg9qm72U43EbRE/Zd3lsafuYZsGLekpRaw8fmykvABVYhBRCy0QlKb+nDNoxZBjJmhd7zr1CRmZT0bPgcT7FSqOZ8vTmilzRZXz8ddFmO6j6Cmlzvlrlq1V37fharVY7lNQVFQff/MzDtnnYNvthW34ALJPIMh1QZvh299r2SrOA7DHZrjN5GSmG6fYUDfPl5hCpKZ/cYEgycMQx337Itx/y7Yd8+yHffujbnc4PhwkSSfXsT35ALWAV8wNq+QG1V+CAWlXCOqIKyWMaeUwj8Phb2X6AwCvL5LN5HnAZABnYrjL7g6oyCTDTEaFsfyBZBqJCeRAkD4LkQZA8CBKru48OcZm0un+Q9PDnUKqxmUiXERusGfMxLO9ZW5p2scJcIgWpypc4Y9C2kETJA1xnj9pVbFb0lmUaa5KpHEZ9JgXwFm3mIuMu2uxFl79Lx4b+0R9Cv3YtvaceMb7sdmWtzkzRqT3hXNnuSEjXoMXeNc3m7mJz9LXqU/d5vhZqKkX966GXMGiDdI+VS08bu/XL18X+uuXWPfRVdpNIzhewhDsEuUU/O9VDX876Fob4uBhe+LjX5Ml46Wc8OJdvkojSSDUAbW9PgLhTPnKQ79ZkZ7dmuPsiCdsc3EIUmYQaFb1OEjQ4/LvXWGvpDt06lhQNqUPFEd8A2vxNonj1dKgBOm7pCmvS6Tf/tMqPsP+RbDuUyYGesCTHtPuNcLQqlphSFI9byGyuzpUWFjTD1I179odzOt+6uRAoU1ewKrsFbG6YIwsiUhtTJ5CuUBmo5XiA7iUDlLlwn24CWobqdv+A+BuYp4PyzMypnN77j4MJeykGYQsLVJLSvnVWqKEvjk0Saxxi9T4kMW6gTt1g5cAsJADIfhIaUHZ3ziq78HdsJYz3vbj0cggW6+4gkDJhswKzazEWkSdot7zX7hkw4XFrcGPgfnZhYkBBGPGCHYZ4uc7FCzuhWdj+QQx92d7whzikPR35Jlosgne24+KWt/DacSwwxdeYYwcrvFUaC1jxLdXYwUa9IleLXhDLRGcPWIg9Ij+Of9mMfFUv0d56Fq3WYTXq1t+zL1rRh6lj73HgnGAaAxs8qJhY/1IezfaIbxw9PcAnFNejRjKiPcaJafcBT64vbesT75CNv1OHAk9wnTsUfGpMrgtimLqPXghLSUjVHfxta1cy8yZ4fGrQYehglc4wFIPaOeHVij46E7WMdO9TDwtgsh0dZOoILkH33rX5Isn2JeSk9Dd9ol2As82iAd2KgSdT0LmPcvWd/kQ99Azz+aG/vpzejcR7EP1c07NyhZ8Iz6ZWfT9fxq1Q7TM9BoUaotXq0pEBTdZAvejfXgn7JkIgx4Hubc7EHwnyv0xt0KW9He4gy3k/mP0vVxsAM1ewHvyQXpfnYWt4vNo9BM1uF3wwZHxW2Z81AN2vvvfWhV71fpAunHHJitURGqYH5GzVtO3cRIh/KbFdoKgtrp7tO5dS++QN7Gv3bC+Hu6zGuaAOYyl1/ZrImTqYwIdgaYJuQCT2/p2B4ZqXwMGKM7vDwzUtgdMrEWblTiKnYE61J6GzPvZ5IamJNXT//OuFQuF/z6/ISr3eoPfsf0grHmsqq9kOPq7OWVR3Chg3NEWixCB184ZEtHuM74bNNeeUsas4rYzb0I1DZmpXPBnZdZx+Iur+ii/0ooNdkcWh8A9HUHK0DSMLZ6fur1TW7y+uLLDrCsRb7z8iRF5Z4LcrC37p0+tfjqh/ya5/Saj/AYquPrRwiG2EsqI74hZoIqPc5N//tjqn6AamJgbptPVNaHsxiGQh1F4/2KKF0As2QS4CmKXToAVPE4rIgjkDCc09QXh/fmXBu1/xT/TdL60sCNTKQrBNluDpMbsPzaj74xNspn1nzWhhfQ9LzRLnLQFzyStWJrpJiapiepExn6+RIx3TN2sBJ8nn+YadAWbZT/S5lSD3t2tRQSc//3rNDe1WTUs+CeVerQnG1E9+w0kOYnCZlTBe7ylNxOslBit5y88INTom/LwZFuhTQg/2CTk4xwQ4HyntDv0/13F4IsCdXrvSXvvNyALdRwXKLUWW6zZaUOoXIktFjiKw/3wX9va+d6s8oufRco3Qhs5y7aAlUOBG9wIRnYW/qRG4fAMub8DlKly+CZc34fIWXN6GyztwuQaX63D5FruMT7LLtXCz/IM2tpCOGnYrzvydqhlNjM0t1DpFXa+HM6tQzqm1FcRdBBTT7FIMF1qTJGwYGxiZFoVyNxnT6/wNNmTiqqJZKn/z5tKaLAcp+ApP1GopesOhHKs7YVPGRfbfHV7jdXh7Q2NlJfhO6xYztfiybVMf6ocKJTr4GpfslF1Lh4GYtSm/0dfgVVx7iAg0wGm42SM8dWad+SwmdkU0+/C4Rajpl5+taMGEaTsBqrhS4XY9sFs1Y6exbE5e9kh3RjgMLnmFoVDqJ4E63rDTfFnZBb1UkXTrubxFDoObcFcgJVTHRSfNJ9zyr+0gyxDkNmu/AusnXNnFWriJWSdNLKUFWvUTnIGe9hKMGe/W7oFHepjsFE8fZjyaZ19iYy5oV7UJq3AD6cqXmM4A5WfOVE3S8sm3nij4yH7hUtAkmPSXIYfN47rSsCjnnYSUTcI0B24cNQPW14H264SkWUiyY0j2DOU8Ln570lwRkxwpjfX/8054SnJnwm4CZnCen+fn+Xl+np/nD5IPfyP/8/Lly5+yv1Eg/tsheM5/icR/isSPReI/ROLfxdr+TST+VST+RST+WST+SST+Uaz6H0TiRyLxQ5H4e5H4O5H4W5H4G5H4a5H4K5H4S5H4gUh8XyT+QiT+XCT+TCT+VOzc90TiuyLbn4jEH4vEH4nEH4rEH4jE74vE74nE74rE74gIflskvhKJ3xKJ3xSJ3xBr+3Ux59dE4ldF4lfEMr8sEr8kEGMX2OWr0eqJYWKtVIYHLgk8MKP0CLNHIUUqrSs8AdGTz5efPXMYq/wFyfmiZkiEqsr+fPGJ843Gt0qL8DtfLFsqPNCs6tgyKVLnizvWvqpIH+GTPXKA9dX9O3fQben2e0vv37yFF+++/3z+Wb8oKrp5czkhENv7LxiGeCt/HnN1MM4TTj2TZaK1EMV08kNkNKvMby+MFiZ/caSLTJ3/D7+wnybcCj5fSnSYn8OjeGFqr2D/TEDgrACPyLOgjm+FTWnFde9BWy/NTlxy2cfgr83yVvyHCF5gbHbGaWj2NedmDBqacXro9AcqO1/bQi8IZf8UHf49sBRVnqrt4kMFWKDoJPs551Tz0vkZh4hE34GriZrJH8OckMPo2LWIgYKR5Gw9RyG9mMMncIEA5jjESnoOk40UvCjIWP+N8vauniqOiHjTdO3QfTBNSiJPPYQQMxo0tJf0uH3moYSg1mCBxKQxPvMwQsytz7Bl0uCee+AgFth7kDQGzX/nFGmE9D6GFq91nNsRodoY2rvecW53iPbG0CaEb/sPGCetZjUPX7FwWiB4hBs4BT7dEVoc7QqF145gmYIVMovrN19DYX3p2g+QzfQmQfIGgh3zNjdlFjjLbPSYzT1UZMFvGWNtG+efINXCRqEwOloYH78wGdVWxa3r3ajMtvp/8vHdDwD79DT4TVP7cJHAmYCVAfoTYpDhgoHhs2iGOlwawPAsmqEJFwUYnkczvIDLATDUohlUuGjAgKIZwC2ZIuwyu+/4JbOSeyO7N9i9qbs3Dfem6d4o7s0L9+bAvVHdG8290d0b4txc+H8AAAD//wMAUEsBAi0AFAAAAAgAKI/WUqL8E3XPEgAAX9YAABgAYAAAAAAAAAAAAAAAAAAAAEFzcGVuVGVjaC5BU1dYTC5Xb3JrYm9va05VOABOVUNYGAAAAEEAcwBwAGUAbgBUAGUAYwBoAC4AQQBTAFcAWABMAC4AVwBvAHIAawBiAG8AbwBrAAoAIAAAAAAAAQAYAA9JyUV/Z9cBD0nJRX9n1wGWhshFf2fXAVBLBQYAAAAAAQABAKYAAABHEwAAHgBBU1dYTCBTdG9yYWdlIFZlcnNpb24gMzcuMC4wLjA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</si>
</sst>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7"/>
      <color rgb="FF000000"/>
      <name val="Courier New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quotePrefix="1"/>
    <xf numFmtId="11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11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EFE0-1DD9-452E-93C6-5246378EF529}">
  <sheetPr codeName="Sheet1"/>
  <dimension ref="A1:B2"/>
  <sheetViews>
    <sheetView workbookViewId="0"/>
  </sheetViews>
  <sheetFormatPr defaultRowHeight="14.5" x14ac:dyDescent="0.35"/>
  <sheetData>
    <row r="1" spans="1:2" x14ac:dyDescent="0.35">
      <c r="A1" t="s">
        <v>4</v>
      </c>
      <c r="B1" t="s">
        <v>5</v>
      </c>
    </row>
    <row r="2" spans="1:2" x14ac:dyDescent="0.35">
      <c r="A2" s="1" t="s">
        <v>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59F74-6012-4EDE-9712-C4F98EFCC119}">
  <sheetPr codeName="Tabelle1"/>
  <dimension ref="A1:AZ81"/>
  <sheetViews>
    <sheetView tabSelected="1" topLeftCell="P36" zoomScale="70" zoomScaleNormal="70" workbookViewId="0">
      <selection activeCell="P51" sqref="P51"/>
    </sheetView>
  </sheetViews>
  <sheetFormatPr defaultColWidth="11.54296875" defaultRowHeight="14.5" x14ac:dyDescent="0.35"/>
  <sheetData>
    <row r="1" spans="1:22" x14ac:dyDescent="0.35">
      <c r="A1" t="s">
        <v>33</v>
      </c>
      <c r="F1" t="s">
        <v>34</v>
      </c>
      <c r="I1" t="s">
        <v>35</v>
      </c>
      <c r="J1" t="s">
        <v>36</v>
      </c>
      <c r="K1" t="s">
        <v>39</v>
      </c>
      <c r="L1" t="s">
        <v>40</v>
      </c>
    </row>
    <row r="2" spans="1:22" x14ac:dyDescent="0.35">
      <c r="I2" s="3">
        <v>-38.947749424487903</v>
      </c>
      <c r="J2" s="2">
        <v>1.4099756012564301E-6</v>
      </c>
      <c r="K2" s="3" t="s">
        <v>37</v>
      </c>
      <c r="L2" s="3" t="s">
        <v>38</v>
      </c>
    </row>
    <row r="3" spans="1:22" x14ac:dyDescent="0.35">
      <c r="A3" t="s">
        <v>41</v>
      </c>
      <c r="C3" t="s">
        <v>3</v>
      </c>
    </row>
    <row r="6" spans="1:22" x14ac:dyDescent="0.35">
      <c r="A6" t="s">
        <v>41</v>
      </c>
    </row>
    <row r="7" spans="1:22" x14ac:dyDescent="0.35">
      <c r="A7" t="s">
        <v>33</v>
      </c>
      <c r="U7" t="s">
        <v>76</v>
      </c>
      <c r="V7" t="s">
        <v>75</v>
      </c>
    </row>
    <row r="8" spans="1:22" x14ac:dyDescent="0.35">
      <c r="A8" t="s">
        <v>32</v>
      </c>
      <c r="N8" t="s">
        <v>65</v>
      </c>
      <c r="P8" t="s">
        <v>69</v>
      </c>
      <c r="Q8" t="s">
        <v>70</v>
      </c>
      <c r="R8" t="s">
        <v>71</v>
      </c>
      <c r="S8" t="s">
        <v>72</v>
      </c>
      <c r="T8" t="s">
        <v>73</v>
      </c>
      <c r="U8" t="s">
        <v>74</v>
      </c>
      <c r="V8" t="s">
        <v>74</v>
      </c>
    </row>
    <row r="9" spans="1:22" x14ac:dyDescent="0.35">
      <c r="N9">
        <v>517</v>
      </c>
      <c r="O9" t="s">
        <v>68</v>
      </c>
      <c r="P9">
        <f>517/1000</f>
        <v>0.51700000000000002</v>
      </c>
      <c r="Q9">
        <f>P9/1000</f>
        <v>5.1699999999999999E-4</v>
      </c>
      <c r="R9">
        <v>30.069040000000001</v>
      </c>
      <c r="S9">
        <f>Q9*R9</f>
        <v>1.554569368E-2</v>
      </c>
      <c r="T9">
        <v>3000</v>
      </c>
      <c r="U9">
        <f>S9*T9</f>
        <v>46.637081039999998</v>
      </c>
      <c r="V9">
        <f>0.000016 *1000000</f>
        <v>16</v>
      </c>
    </row>
    <row r="10" spans="1:22" x14ac:dyDescent="0.35">
      <c r="A10" t="s">
        <v>0</v>
      </c>
      <c r="B10" t="s">
        <v>1</v>
      </c>
      <c r="N10" t="s">
        <v>66</v>
      </c>
    </row>
    <row r="11" spans="1:22" x14ac:dyDescent="0.35">
      <c r="A11" t="s">
        <v>2</v>
      </c>
      <c r="C11" t="e">
        <f ca="1">Flash_x_Water(82)</f>
        <v>#NAME?</v>
      </c>
      <c r="N11" t="s">
        <v>67</v>
      </c>
    </row>
    <row r="15" spans="1:22" x14ac:dyDescent="0.35">
      <c r="H15" t="s">
        <v>30</v>
      </c>
    </row>
    <row r="16" spans="1:22" x14ac:dyDescent="0.35">
      <c r="E16" t="s">
        <v>29</v>
      </c>
    </row>
    <row r="17" spans="5:11" x14ac:dyDescent="0.35">
      <c r="E17" t="s">
        <v>28</v>
      </c>
      <c r="F17" t="s">
        <v>27</v>
      </c>
      <c r="H17" t="s">
        <v>26</v>
      </c>
    </row>
    <row r="18" spans="5:11" x14ac:dyDescent="0.35">
      <c r="F18" t="s">
        <v>25</v>
      </c>
      <c r="H18" t="s">
        <v>24</v>
      </c>
    </row>
    <row r="19" spans="5:11" x14ac:dyDescent="0.35">
      <c r="F19" t="s">
        <v>23</v>
      </c>
      <c r="H19" t="s">
        <v>22</v>
      </c>
    </row>
    <row r="21" spans="5:11" x14ac:dyDescent="0.35">
      <c r="F21" t="s">
        <v>21</v>
      </c>
      <c r="H21" t="s">
        <v>20</v>
      </c>
    </row>
    <row r="22" spans="5:11" x14ac:dyDescent="0.35">
      <c r="G22" t="s">
        <v>16</v>
      </c>
      <c r="I22" t="s">
        <v>19</v>
      </c>
      <c r="J22" t="s">
        <v>31</v>
      </c>
      <c r="K22">
        <v>6</v>
      </c>
    </row>
    <row r="24" spans="5:11" x14ac:dyDescent="0.35">
      <c r="F24" t="s">
        <v>18</v>
      </c>
      <c r="H24" t="s">
        <v>17</v>
      </c>
    </row>
    <row r="25" spans="5:11" x14ac:dyDescent="0.35">
      <c r="G25" t="s">
        <v>16</v>
      </c>
      <c r="I25" t="s">
        <v>15</v>
      </c>
      <c r="J25" t="s">
        <v>31</v>
      </c>
      <c r="K25">
        <v>4</v>
      </c>
    </row>
    <row r="28" spans="5:11" x14ac:dyDescent="0.35">
      <c r="I28">
        <f>3000000/300</f>
        <v>10000</v>
      </c>
    </row>
    <row r="31" spans="5:11" x14ac:dyDescent="0.35">
      <c r="E31" t="s">
        <v>14</v>
      </c>
    </row>
    <row r="33" spans="5:52" x14ac:dyDescent="0.35">
      <c r="F33" t="s">
        <v>13</v>
      </c>
      <c r="H33" t="s">
        <v>12</v>
      </c>
    </row>
    <row r="34" spans="5:52" x14ac:dyDescent="0.35">
      <c r="F34" t="s">
        <v>11</v>
      </c>
      <c r="H34" t="s">
        <v>10</v>
      </c>
    </row>
    <row r="38" spans="5:52" x14ac:dyDescent="0.35">
      <c r="E38" t="s">
        <v>9</v>
      </c>
    </row>
    <row r="40" spans="5:52" x14ac:dyDescent="0.35">
      <c r="F40" t="s">
        <v>8</v>
      </c>
      <c r="H40" t="s">
        <v>7</v>
      </c>
    </row>
    <row r="41" spans="5:52" x14ac:dyDescent="0.35">
      <c r="G41" t="s">
        <v>6</v>
      </c>
      <c r="Q41" s="7" t="s">
        <v>77</v>
      </c>
      <c r="AE41" s="7" t="s">
        <v>32</v>
      </c>
      <c r="AQ41" s="7" t="s">
        <v>91</v>
      </c>
    </row>
    <row r="43" spans="5:52" x14ac:dyDescent="0.35">
      <c r="S43" s="6" t="s">
        <v>50</v>
      </c>
      <c r="T43" s="6" t="s">
        <v>51</v>
      </c>
      <c r="U43" s="6" t="s">
        <v>52</v>
      </c>
      <c r="V43" s="6" t="s">
        <v>53</v>
      </c>
      <c r="W43" s="6" t="s">
        <v>54</v>
      </c>
      <c r="X43" s="6" t="s">
        <v>55</v>
      </c>
      <c r="Y43" s="6" t="s">
        <v>56</v>
      </c>
      <c r="Z43" s="6" t="s">
        <v>57</v>
      </c>
      <c r="AA43" s="6" t="s">
        <v>58</v>
      </c>
      <c r="AB43" s="6" t="s">
        <v>59</v>
      </c>
      <c r="AE43" s="6" t="s">
        <v>50</v>
      </c>
      <c r="AF43" s="6" t="s">
        <v>51</v>
      </c>
      <c r="AG43" s="6" t="s">
        <v>52</v>
      </c>
      <c r="AH43" s="6" t="s">
        <v>53</v>
      </c>
      <c r="AI43" s="6" t="s">
        <v>54</v>
      </c>
      <c r="AJ43" s="6" t="s">
        <v>55</v>
      </c>
      <c r="AK43" s="6" t="s">
        <v>56</v>
      </c>
      <c r="AL43" s="6" t="s">
        <v>57</v>
      </c>
      <c r="AM43" s="6" t="s">
        <v>58</v>
      </c>
      <c r="AN43" s="6" t="s">
        <v>59</v>
      </c>
      <c r="AQ43" s="6" t="s">
        <v>50</v>
      </c>
      <c r="AR43" s="6" t="s">
        <v>51</v>
      </c>
      <c r="AS43" s="6" t="s">
        <v>52</v>
      </c>
      <c r="AT43" s="6" t="s">
        <v>53</v>
      </c>
      <c r="AU43" s="6" t="s">
        <v>54</v>
      </c>
      <c r="AV43" s="6" t="s">
        <v>55</v>
      </c>
      <c r="AW43" s="6" t="s">
        <v>56</v>
      </c>
      <c r="AX43" s="6" t="s">
        <v>57</v>
      </c>
      <c r="AY43" s="6" t="s">
        <v>58</v>
      </c>
      <c r="AZ43" s="6" t="s">
        <v>59</v>
      </c>
    </row>
    <row r="44" spans="5:52" x14ac:dyDescent="0.35">
      <c r="Q44" t="s">
        <v>44</v>
      </c>
      <c r="S44">
        <v>0.34146344771799603</v>
      </c>
      <c r="T44">
        <v>3.9041370862648202E-2</v>
      </c>
      <c r="U44">
        <v>0.38215408827285002</v>
      </c>
      <c r="V44">
        <v>0.112952769128153</v>
      </c>
      <c r="W44">
        <v>3.0669511753321999E-2</v>
      </c>
      <c r="X44" s="5">
        <v>0.96303761251566</v>
      </c>
      <c r="Y44" s="4">
        <v>1.5300579313213399E-13</v>
      </c>
      <c r="Z44">
        <v>0.20018720218038599</v>
      </c>
      <c r="AA44" s="4">
        <v>7.8237701768540001E-17</v>
      </c>
      <c r="AB44" s="4">
        <v>2.8032866397713098E-13</v>
      </c>
    </row>
    <row r="45" spans="5:52" x14ac:dyDescent="0.35">
      <c r="Q45" t="s">
        <v>45</v>
      </c>
      <c r="S45">
        <v>0.25881347169827701</v>
      </c>
      <c r="T45" s="4">
        <v>5.6120379584755104E-6</v>
      </c>
      <c r="U45">
        <v>0.30490009667623302</v>
      </c>
      <c r="V45">
        <v>0</v>
      </c>
      <c r="W45">
        <v>0.48525551818106</v>
      </c>
      <c r="X45">
        <v>6.8344065756004201E-3</v>
      </c>
      <c r="Y45">
        <v>0.54439655866201397</v>
      </c>
      <c r="Z45">
        <v>0.158368912601206</v>
      </c>
      <c r="AA45">
        <v>5.9913575077020297E-2</v>
      </c>
      <c r="AB45" s="5">
        <v>0.94776248033646904</v>
      </c>
    </row>
    <row r="46" spans="5:52" x14ac:dyDescent="0.35">
      <c r="Q46" t="s">
        <v>46</v>
      </c>
      <c r="S46">
        <v>5.7513468505457001E-2</v>
      </c>
      <c r="T46" s="4">
        <v>8.1061804522371898E-6</v>
      </c>
      <c r="U46">
        <v>6.7754827414635205E-2</v>
      </c>
      <c r="V46">
        <v>0</v>
      </c>
      <c r="W46">
        <v>0.10331471846199999</v>
      </c>
      <c r="X46">
        <v>8.9865166175440696E-3</v>
      </c>
      <c r="Y46">
        <v>6.1003321779696104E-3</v>
      </c>
      <c r="Z46">
        <v>0.64064176728437106</v>
      </c>
      <c r="AA46">
        <v>1.55010698607511E-4</v>
      </c>
      <c r="AB46">
        <v>1.10502275497915E-2</v>
      </c>
    </row>
    <row r="47" spans="5:52" x14ac:dyDescent="0.35">
      <c r="Q47" t="s">
        <v>47</v>
      </c>
      <c r="S47">
        <v>4.3135665388017302E-3</v>
      </c>
      <c r="T47">
        <v>0.88344935358676802</v>
      </c>
      <c r="U47" s="4">
        <v>4.7498837804909499E-26</v>
      </c>
      <c r="V47">
        <v>2.8537712521346299E-2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5:52" x14ac:dyDescent="0.35">
      <c r="Q48" t="s">
        <v>48</v>
      </c>
      <c r="S48">
        <v>0.13659627372872099</v>
      </c>
      <c r="T48">
        <v>7.7495557332172699E-2</v>
      </c>
      <c r="U48">
        <v>8.04599095870355E-3</v>
      </c>
      <c r="V48">
        <v>0.85850951835050104</v>
      </c>
      <c r="W48">
        <v>1.2288780270384501E-4</v>
      </c>
      <c r="X48">
        <v>2.1140164619950299E-2</v>
      </c>
      <c r="Y48" s="4">
        <v>3.8059693930908999E-18</v>
      </c>
      <c r="Z48">
        <v>8.0211793403645005E-4</v>
      </c>
      <c r="AA48">
        <v>0</v>
      </c>
      <c r="AB48">
        <v>0</v>
      </c>
    </row>
    <row r="49" spans="4:43" x14ac:dyDescent="0.35">
      <c r="Q49" t="s">
        <v>49</v>
      </c>
      <c r="S49">
        <v>0.20129977181074701</v>
      </c>
      <c r="T49">
        <v>0</v>
      </c>
      <c r="U49">
        <v>0.23714499667757899</v>
      </c>
      <c r="V49">
        <v>0</v>
      </c>
      <c r="W49">
        <v>0.38063736380091401</v>
      </c>
      <c r="X49" s="4">
        <v>1.29967124497099E-6</v>
      </c>
      <c r="Y49">
        <v>0.44950310915986302</v>
      </c>
      <c r="Z49">
        <v>0</v>
      </c>
      <c r="AA49" s="5">
        <v>0.93993141422437199</v>
      </c>
      <c r="AB49">
        <v>4.1187292113458701E-2</v>
      </c>
    </row>
    <row r="51" spans="4:43" x14ac:dyDescent="0.35">
      <c r="Q51" s="3" t="s">
        <v>78</v>
      </c>
      <c r="U51" s="3"/>
      <c r="AE51" s="3" t="s">
        <v>89</v>
      </c>
      <c r="AQ51" s="3" t="s">
        <v>96</v>
      </c>
    </row>
    <row r="52" spans="4:43" x14ac:dyDescent="0.35">
      <c r="Q52" s="3" t="s">
        <v>79</v>
      </c>
      <c r="U52" s="3"/>
      <c r="AE52" s="3" t="s">
        <v>90</v>
      </c>
      <c r="AQ52" s="3" t="s">
        <v>97</v>
      </c>
    </row>
    <row r="53" spans="4:43" x14ac:dyDescent="0.35">
      <c r="Q53" s="3" t="s">
        <v>80</v>
      </c>
      <c r="U53" s="3"/>
      <c r="AE53" s="3" t="s">
        <v>85</v>
      </c>
      <c r="AQ53" s="3" t="s">
        <v>92</v>
      </c>
    </row>
    <row r="54" spans="4:43" x14ac:dyDescent="0.35">
      <c r="Q54" s="3" t="s">
        <v>81</v>
      </c>
      <c r="U54" s="3"/>
      <c r="AE54" s="3" t="s">
        <v>86</v>
      </c>
      <c r="AQ54" s="3" t="s">
        <v>93</v>
      </c>
    </row>
    <row r="55" spans="4:43" x14ac:dyDescent="0.35">
      <c r="Q55" s="3" t="s">
        <v>82</v>
      </c>
      <c r="U55" s="3"/>
      <c r="AE55" s="3" t="s">
        <v>82</v>
      </c>
      <c r="AQ55" s="3" t="s">
        <v>82</v>
      </c>
    </row>
    <row r="56" spans="4:43" x14ac:dyDescent="0.35">
      <c r="D56" t="s">
        <v>60</v>
      </c>
      <c r="F56" t="s">
        <v>61</v>
      </c>
      <c r="Q56" s="3" t="s">
        <v>83</v>
      </c>
      <c r="U56" s="3"/>
      <c r="AE56" s="3" t="s">
        <v>87</v>
      </c>
      <c r="AQ56" s="3" t="s">
        <v>94</v>
      </c>
    </row>
    <row r="57" spans="4:43" x14ac:dyDescent="0.35">
      <c r="D57" t="s">
        <v>63</v>
      </c>
      <c r="F57" t="s">
        <v>62</v>
      </c>
      <c r="Q57" s="3" t="s">
        <v>84</v>
      </c>
      <c r="U57" s="3"/>
      <c r="AE57" s="3" t="s">
        <v>88</v>
      </c>
      <c r="AQ57" s="3" t="s">
        <v>95</v>
      </c>
    </row>
    <row r="58" spans="4:43" x14ac:dyDescent="0.35">
      <c r="D58" t="s">
        <v>64</v>
      </c>
      <c r="F58">
        <v>2157.35056051329</v>
      </c>
    </row>
    <row r="60" spans="4:43" x14ac:dyDescent="0.35">
      <c r="F60" t="s">
        <v>50</v>
      </c>
      <c r="G60" t="s">
        <v>51</v>
      </c>
      <c r="H60" s="5" t="s">
        <v>52</v>
      </c>
      <c r="I60" s="6" t="s">
        <v>53</v>
      </c>
      <c r="J60" s="5" t="s">
        <v>54</v>
      </c>
      <c r="K60" t="s">
        <v>55</v>
      </c>
      <c r="L60" s="5" t="s">
        <v>56</v>
      </c>
      <c r="M60" s="5" t="s">
        <v>57</v>
      </c>
      <c r="N60" s="5" t="s">
        <v>58</v>
      </c>
      <c r="O60" s="5" t="s">
        <v>59</v>
      </c>
      <c r="Q60" t="s">
        <v>50</v>
      </c>
      <c r="R60" t="s">
        <v>51</v>
      </c>
      <c r="S60" s="5" t="s">
        <v>52</v>
      </c>
      <c r="T60" s="6" t="s">
        <v>53</v>
      </c>
      <c r="U60" s="5" t="s">
        <v>54</v>
      </c>
      <c r="V60" t="s">
        <v>55</v>
      </c>
      <c r="W60" s="5" t="s">
        <v>56</v>
      </c>
      <c r="X60" s="5" t="s">
        <v>57</v>
      </c>
      <c r="Y60" s="5" t="s">
        <v>58</v>
      </c>
      <c r="Z60" s="5" t="s">
        <v>59</v>
      </c>
    </row>
    <row r="61" spans="4:43" x14ac:dyDescent="0.35">
      <c r="D61" t="s">
        <v>42</v>
      </c>
      <c r="E61" t="s">
        <v>43</v>
      </c>
      <c r="F61">
        <v>34.774008619250097</v>
      </c>
      <c r="G61">
        <v>3.2259913807499201</v>
      </c>
      <c r="H61">
        <v>7.1292999251780103</v>
      </c>
      <c r="I61">
        <v>27.644708694072101</v>
      </c>
      <c r="J61">
        <v>0.78879795936655095</v>
      </c>
      <c r="K61">
        <v>26.855910734705599</v>
      </c>
      <c r="L61">
        <v>10.5488022813588</v>
      </c>
      <c r="M61">
        <v>16.3071084533467</v>
      </c>
      <c r="N61">
        <v>1.0472245586727999E-2</v>
      </c>
      <c r="O61">
        <v>3.21551913516319</v>
      </c>
      <c r="Q61">
        <f>SUM(Q62:Q67)</f>
        <v>1</v>
      </c>
      <c r="R61">
        <f t="shared" ref="R61:Z61" si="0">SUM(R62:R67)</f>
        <v>1</v>
      </c>
      <c r="S61">
        <f t="shared" si="0"/>
        <v>1</v>
      </c>
      <c r="T61">
        <f t="shared" si="0"/>
        <v>0.99999999999999989</v>
      </c>
      <c r="U61">
        <f t="shared" si="0"/>
        <v>0.99999999999999989</v>
      </c>
      <c r="V61">
        <f t="shared" si="0"/>
        <v>1.0000000000000002</v>
      </c>
      <c r="W61">
        <f t="shared" si="0"/>
        <v>0.99999999999999989</v>
      </c>
      <c r="X61">
        <f t="shared" si="0"/>
        <v>1.0000000000000002</v>
      </c>
      <c r="Y61">
        <f t="shared" si="0"/>
        <v>1</v>
      </c>
      <c r="Z61">
        <f t="shared" si="0"/>
        <v>1</v>
      </c>
    </row>
    <row r="62" spans="4:43" x14ac:dyDescent="0.35">
      <c r="D62" t="s">
        <v>44</v>
      </c>
      <c r="E62" t="s">
        <v>43</v>
      </c>
      <c r="F62">
        <v>11.8740528741045</v>
      </c>
      <c r="G62">
        <v>0.125947125895564</v>
      </c>
      <c r="H62">
        <v>2.7440274596868901E-3</v>
      </c>
      <c r="I62">
        <v>11.8713088466448</v>
      </c>
      <c r="J62">
        <v>2.1552407818784501E-3</v>
      </c>
      <c r="K62">
        <v>11.8691536058629</v>
      </c>
      <c r="L62">
        <v>0.59345768029314305</v>
      </c>
      <c r="M62">
        <v>11.2756959255697</v>
      </c>
      <c r="N62">
        <v>6.2973562947781902E-3</v>
      </c>
      <c r="O62">
        <v>0.11964976960078599</v>
      </c>
      <c r="Q62">
        <f>F62/SUM(F62:F67)</f>
        <v>0.34146344771799686</v>
      </c>
      <c r="R62">
        <f t="shared" ref="R62:Z62" si="1">G62/SUM(G62:G67)</f>
        <v>3.9041370862648202E-2</v>
      </c>
      <c r="S62">
        <f t="shared" si="1"/>
        <v>3.8489437791725E-4</v>
      </c>
      <c r="T62">
        <f t="shared" si="1"/>
        <v>0.42942426986725174</v>
      </c>
      <c r="U62">
        <f t="shared" si="1"/>
        <v>2.7323102909764499E-3</v>
      </c>
      <c r="V62">
        <f t="shared" si="1"/>
        <v>0.44195684604076846</v>
      </c>
      <c r="W62">
        <f t="shared" si="1"/>
        <v>5.625829970686469E-2</v>
      </c>
      <c r="X62" s="5">
        <f t="shared" si="1"/>
        <v>0.69145893999715269</v>
      </c>
      <c r="Y62" s="5">
        <f t="shared" si="1"/>
        <v>0.60133772099072236</v>
      </c>
      <c r="Z62" s="5">
        <f t="shared" si="1"/>
        <v>3.7210094100314992E-2</v>
      </c>
    </row>
    <row r="63" spans="4:43" x14ac:dyDescent="0.35">
      <c r="D63" t="s">
        <v>45</v>
      </c>
      <c r="E63" t="s">
        <v>43</v>
      </c>
      <c r="F63">
        <v>8.9999818956139404</v>
      </c>
      <c r="G63" s="4">
        <v>1.8104386082483402E-5</v>
      </c>
      <c r="H63">
        <v>0.449999094780697</v>
      </c>
      <c r="I63">
        <v>8.5499828008332308</v>
      </c>
      <c r="J63">
        <v>0.42749914004166101</v>
      </c>
      <c r="K63">
        <v>8.1224836607915805</v>
      </c>
      <c r="L63">
        <v>8.0247072347688597</v>
      </c>
      <c r="M63">
        <v>9.7776426022701396E-2</v>
      </c>
      <c r="N63" s="4">
        <v>1.78100446909413E-5</v>
      </c>
      <c r="O63" s="4">
        <v>2.94341391542043E-7</v>
      </c>
      <c r="Q63">
        <f>F63/SUM(F62:F67)</f>
        <v>0.25881347169827695</v>
      </c>
      <c r="R63">
        <f t="shared" ref="R63:Z63" si="2">G63/SUM(G62:G67)</f>
        <v>5.6120379584755265E-6</v>
      </c>
      <c r="S63">
        <f t="shared" si="2"/>
        <v>6.3119675073771087E-2</v>
      </c>
      <c r="T63">
        <f t="shared" si="2"/>
        <v>0.30928098738354953</v>
      </c>
      <c r="U63" s="5">
        <f t="shared" si="2"/>
        <v>0.54196278649727614</v>
      </c>
      <c r="V63">
        <f t="shared" si="2"/>
        <v>0.30244677758386296</v>
      </c>
      <c r="W63" s="5">
        <f t="shared" si="2"/>
        <v>0.76072211998414363</v>
      </c>
      <c r="X63">
        <f t="shared" si="2"/>
        <v>5.9959389061789757E-3</v>
      </c>
      <c r="Y63">
        <f t="shared" si="2"/>
        <v>1.7006901283438949E-3</v>
      </c>
      <c r="Z63">
        <f t="shared" si="2"/>
        <v>9.1537751501237589E-8</v>
      </c>
    </row>
    <row r="64" spans="4:43" x14ac:dyDescent="0.35">
      <c r="D64" t="s">
        <v>46</v>
      </c>
      <c r="E64" t="s">
        <v>43</v>
      </c>
      <c r="F64">
        <v>1.9999738495317301</v>
      </c>
      <c r="G64" s="4">
        <v>2.6150468268940098E-5</v>
      </c>
      <c r="H64">
        <v>2.6211047985050501E-2</v>
      </c>
      <c r="I64">
        <v>1.9737628015466799</v>
      </c>
      <c r="J64">
        <v>2.6386473566228301E-2</v>
      </c>
      <c r="K64">
        <v>1.9473763279804499</v>
      </c>
      <c r="L64">
        <v>1.8500075115814301</v>
      </c>
      <c r="M64">
        <v>9.7368816399022798E-2</v>
      </c>
      <c r="N64" s="4">
        <v>2.4842944855493101E-5</v>
      </c>
      <c r="O64" s="4">
        <v>1.3075234134469999E-6</v>
      </c>
      <c r="Q64">
        <f>F64/SUM(F62:F67)</f>
        <v>5.7513468505456876E-2</v>
      </c>
      <c r="R64">
        <f t="shared" ref="R64:Z64" si="3">G64/SUM(G62:G67)</f>
        <v>8.1061804519952399E-6</v>
      </c>
      <c r="S64">
        <f t="shared" si="3"/>
        <v>3.676524800490283E-3</v>
      </c>
      <c r="T64">
        <f t="shared" si="3"/>
        <v>7.1397489602410366E-2</v>
      </c>
      <c r="U64">
        <f t="shared" si="3"/>
        <v>3.3451498261250739E-2</v>
      </c>
      <c r="V64">
        <f t="shared" si="3"/>
        <v>7.2512019689724289E-2</v>
      </c>
      <c r="W64">
        <f t="shared" si="3"/>
        <v>0.1753760723007052</v>
      </c>
      <c r="X64">
        <f t="shared" si="3"/>
        <v>5.9709430815148585E-3</v>
      </c>
      <c r="Y64">
        <f t="shared" si="3"/>
        <v>2.3722653035350614E-3</v>
      </c>
      <c r="Z64">
        <f t="shared" si="3"/>
        <v>4.0662902582311638E-7</v>
      </c>
      <c r="AB64" s="3"/>
    </row>
    <row r="65" spans="4:28" x14ac:dyDescent="0.35">
      <c r="D65" t="s">
        <v>47</v>
      </c>
      <c r="E65" t="s">
        <v>43</v>
      </c>
      <c r="F65">
        <v>0.15</v>
      </c>
      <c r="G65">
        <v>2.85</v>
      </c>
      <c r="H65" s="4">
        <v>7.26265381125694E-7</v>
      </c>
      <c r="I65">
        <v>0.14999927373461899</v>
      </c>
      <c r="J65" s="4">
        <v>4.5579872340595798E-7</v>
      </c>
      <c r="K65">
        <v>0.14999881793589601</v>
      </c>
      <c r="L65" s="4">
        <v>1.8615371993434602E-5</v>
      </c>
      <c r="M65">
        <v>0.14998020256390199</v>
      </c>
      <c r="N65">
        <v>2.13266767568466E-4</v>
      </c>
      <c r="O65">
        <v>2.84978673323244</v>
      </c>
      <c r="Q65">
        <f>F65/SUM(F62:F67)</f>
        <v>4.3135665388017172E-3</v>
      </c>
      <c r="R65">
        <f t="shared" ref="R65:Z65" si="4">G65/SUM(G62:G67)</f>
        <v>0.88344935358676857</v>
      </c>
      <c r="S65">
        <f t="shared" si="4"/>
        <v>1.0187050464251008E-7</v>
      </c>
      <c r="T65">
        <f t="shared" si="4"/>
        <v>5.4259668783119899E-3</v>
      </c>
      <c r="U65">
        <f t="shared" si="4"/>
        <v>5.7783963306901813E-7</v>
      </c>
      <c r="V65">
        <f t="shared" si="4"/>
        <v>5.5853186070526448E-3</v>
      </c>
      <c r="W65">
        <f t="shared" si="4"/>
        <v>1.7646905778422352E-6</v>
      </c>
      <c r="X65">
        <f t="shared" si="4"/>
        <v>9.1972284965776297E-3</v>
      </c>
      <c r="Y65">
        <f t="shared" si="4"/>
        <v>2.0364950936478114E-2</v>
      </c>
      <c r="Z65" s="5">
        <f t="shared" si="4"/>
        <v>0.88626023153421729</v>
      </c>
      <c r="AB65" s="3"/>
    </row>
    <row r="66" spans="4:28" x14ac:dyDescent="0.35">
      <c r="D66" t="s">
        <v>48</v>
      </c>
      <c r="E66" t="s">
        <v>43</v>
      </c>
      <c r="F66">
        <v>4.7499999999999902</v>
      </c>
      <c r="G66">
        <v>0.25</v>
      </c>
      <c r="H66">
        <v>3.4502868718216701E-4</v>
      </c>
      <c r="I66">
        <v>4.74965497131282</v>
      </c>
      <c r="J66">
        <v>2.56649178059502E-4</v>
      </c>
      <c r="K66">
        <v>4.7493983221347698</v>
      </c>
      <c r="L66">
        <v>6.3111390409721094E-2</v>
      </c>
      <c r="M66">
        <v>4.6862869317250304</v>
      </c>
      <c r="N66">
        <v>3.9189695348349502E-3</v>
      </c>
      <c r="O66">
        <v>0.246081030465165</v>
      </c>
      <c r="Q66">
        <f>F66/SUM(F62:F67)</f>
        <v>0.13659627372872077</v>
      </c>
      <c r="R66">
        <f t="shared" ref="R66:Z66" si="5">G66/SUM(G62:G67)</f>
        <v>7.7495557332172685E-2</v>
      </c>
      <c r="S66">
        <f t="shared" si="5"/>
        <v>4.8395872077657287E-5</v>
      </c>
      <c r="T66">
        <f t="shared" si="5"/>
        <v>0.17181063558579973</v>
      </c>
      <c r="U66">
        <f t="shared" si="5"/>
        <v>3.2536744677383013E-4</v>
      </c>
      <c r="V66">
        <f t="shared" si="5"/>
        <v>0.17684741243934712</v>
      </c>
      <c r="W66">
        <f t="shared" si="5"/>
        <v>5.9828015282121193E-3</v>
      </c>
      <c r="X66" s="5">
        <f t="shared" si="5"/>
        <v>0.28737694025474353</v>
      </c>
      <c r="Y66" s="5">
        <f t="shared" si="5"/>
        <v>0.37422437264092057</v>
      </c>
      <c r="Z66" s="5">
        <f t="shared" si="5"/>
        <v>7.6529176198690471E-2</v>
      </c>
      <c r="AB66" s="3"/>
    </row>
    <row r="67" spans="4:28" x14ac:dyDescent="0.35">
      <c r="D67" t="s">
        <v>49</v>
      </c>
      <c r="E67" t="s">
        <v>43</v>
      </c>
      <c r="F67">
        <v>7</v>
      </c>
      <c r="G67">
        <v>0</v>
      </c>
      <c r="H67">
        <v>6.6500000000000199</v>
      </c>
      <c r="I67">
        <v>0.35</v>
      </c>
      <c r="J67">
        <v>0.33250000000000002</v>
      </c>
      <c r="K67">
        <v>1.7500000000000002E-2</v>
      </c>
      <c r="L67">
        <v>1.74998489336811E-2</v>
      </c>
      <c r="M67" s="4">
        <v>1.5106631884446501E-7</v>
      </c>
      <c r="N67">
        <v>0</v>
      </c>
      <c r="O67">
        <v>0</v>
      </c>
      <c r="Q67">
        <f>F67/SUM(F62:F67)</f>
        <v>0.20129977181074682</v>
      </c>
      <c r="R67">
        <f t="shared" ref="R67:Z67" si="6">G67/SUM(G62:G67)</f>
        <v>0</v>
      </c>
      <c r="S67" s="5">
        <f t="shared" si="6"/>
        <v>0.93277040800523914</v>
      </c>
      <c r="T67">
        <f t="shared" si="6"/>
        <v>1.2660650682676588E-2</v>
      </c>
      <c r="U67" s="5">
        <f t="shared" si="6"/>
        <v>0.42152745966408978</v>
      </c>
      <c r="V67">
        <f t="shared" si="6"/>
        <v>6.5162563924465794E-4</v>
      </c>
      <c r="W67">
        <f t="shared" si="6"/>
        <v>1.6589417894963977E-3</v>
      </c>
      <c r="X67">
        <f t="shared" si="6"/>
        <v>9.2638323511892737E-9</v>
      </c>
      <c r="Y67">
        <f t="shared" si="6"/>
        <v>0</v>
      </c>
      <c r="Z67">
        <f t="shared" si="6"/>
        <v>0</v>
      </c>
      <c r="AB67" s="3"/>
    </row>
    <row r="68" spans="4:28" x14ac:dyDescent="0.35">
      <c r="AB68" s="3"/>
    </row>
    <row r="69" spans="4:28" x14ac:dyDescent="0.35">
      <c r="AB69" s="3"/>
    </row>
    <row r="70" spans="4:28" x14ac:dyDescent="0.35">
      <c r="D70" t="s">
        <v>60</v>
      </c>
      <c r="AB70" s="3"/>
    </row>
    <row r="71" spans="4:28" x14ac:dyDescent="0.35">
      <c r="D71" t="s">
        <v>63</v>
      </c>
      <c r="AB71" s="3"/>
    </row>
    <row r="72" spans="4:28" x14ac:dyDescent="0.35">
      <c r="D72" t="s">
        <v>64</v>
      </c>
      <c r="AB72" s="3"/>
    </row>
    <row r="73" spans="4:28" x14ac:dyDescent="0.35">
      <c r="AB73" s="3"/>
    </row>
    <row r="74" spans="4:28" x14ac:dyDescent="0.35">
      <c r="F74" s="6" t="s">
        <v>50</v>
      </c>
      <c r="G74" s="6" t="s">
        <v>51</v>
      </c>
      <c r="H74" s="6" t="s">
        <v>52</v>
      </c>
      <c r="I74" s="6" t="s">
        <v>53</v>
      </c>
      <c r="J74" s="6" t="s">
        <v>54</v>
      </c>
      <c r="K74" s="6" t="s">
        <v>55</v>
      </c>
      <c r="L74" s="6" t="s">
        <v>56</v>
      </c>
      <c r="M74" s="6" t="s">
        <v>57</v>
      </c>
      <c r="N74" s="6" t="s">
        <v>58</v>
      </c>
      <c r="O74" s="6" t="s">
        <v>59</v>
      </c>
      <c r="Q74" s="6" t="s">
        <v>50</v>
      </c>
      <c r="R74" s="6" t="s">
        <v>51</v>
      </c>
      <c r="S74" s="6" t="s">
        <v>52</v>
      </c>
      <c r="T74" s="6" t="s">
        <v>53</v>
      </c>
      <c r="U74" s="6" t="s">
        <v>54</v>
      </c>
      <c r="V74" s="6" t="s">
        <v>55</v>
      </c>
      <c r="W74" s="6" t="s">
        <v>56</v>
      </c>
      <c r="X74" s="6" t="s">
        <v>57</v>
      </c>
      <c r="Y74" s="6" t="s">
        <v>58</v>
      </c>
      <c r="Z74" s="6" t="s">
        <v>59</v>
      </c>
      <c r="AB74" s="3"/>
    </row>
    <row r="75" spans="4:28" x14ac:dyDescent="0.35">
      <c r="D75" t="s">
        <v>42</v>
      </c>
      <c r="E75" t="s">
        <v>43</v>
      </c>
      <c r="Q75" s="6" t="e">
        <f>SUM(Q76:Q81)</f>
        <v>#DIV/0!</v>
      </c>
      <c r="R75" s="6" t="e">
        <f t="shared" ref="R75" si="7">SUM(R76:R81)</f>
        <v>#DIV/0!</v>
      </c>
      <c r="S75" s="6" t="e">
        <f t="shared" ref="S75" si="8">SUM(S76:S81)</f>
        <v>#DIV/0!</v>
      </c>
      <c r="T75" s="6" t="e">
        <f t="shared" ref="T75" si="9">SUM(T76:T81)</f>
        <v>#DIV/0!</v>
      </c>
      <c r="U75" s="6" t="e">
        <f t="shared" ref="U75" si="10">SUM(U76:U81)</f>
        <v>#DIV/0!</v>
      </c>
      <c r="V75" s="6" t="e">
        <f t="shared" ref="V75" si="11">SUM(V76:V81)</f>
        <v>#DIV/0!</v>
      </c>
      <c r="W75" s="6" t="e">
        <f t="shared" ref="W75" si="12">SUM(W76:W81)</f>
        <v>#DIV/0!</v>
      </c>
      <c r="X75" s="6" t="e">
        <f t="shared" ref="X75" si="13">SUM(X76:X81)</f>
        <v>#DIV/0!</v>
      </c>
      <c r="Y75" s="6" t="e">
        <f t="shared" ref="Y75" si="14">SUM(Y76:Y81)</f>
        <v>#DIV/0!</v>
      </c>
      <c r="Z75" s="6" t="e">
        <f t="shared" ref="Z75" si="15">SUM(Z76:Z81)</f>
        <v>#DIV/0!</v>
      </c>
      <c r="AB75" s="3"/>
    </row>
    <row r="76" spans="4:28" x14ac:dyDescent="0.35">
      <c r="D76" t="s">
        <v>44</v>
      </c>
      <c r="E76" t="s">
        <v>43</v>
      </c>
      <c r="Q76" s="6" t="e">
        <f>F76/SUM(F76:F81)</f>
        <v>#DIV/0!</v>
      </c>
      <c r="R76" s="6" t="e">
        <f t="shared" ref="R76" si="16">G76/SUM(G76:G81)</f>
        <v>#DIV/0!</v>
      </c>
      <c r="S76" s="6" t="e">
        <f t="shared" ref="S76" si="17">H76/SUM(H76:H81)</f>
        <v>#DIV/0!</v>
      </c>
      <c r="T76" s="6" t="e">
        <f t="shared" ref="T76" si="18">I76/SUM(I76:I81)</f>
        <v>#DIV/0!</v>
      </c>
      <c r="U76" s="6" t="e">
        <f t="shared" ref="U76" si="19">J76/SUM(J76:J81)</f>
        <v>#DIV/0!</v>
      </c>
      <c r="V76" s="6" t="e">
        <f t="shared" ref="V76" si="20">K76/SUM(K76:K81)</f>
        <v>#DIV/0!</v>
      </c>
      <c r="W76" s="6" t="e">
        <f t="shared" ref="W76" si="21">L76/SUM(L76:L81)</f>
        <v>#DIV/0!</v>
      </c>
      <c r="X76" s="6" t="e">
        <f t="shared" ref="X76" si="22">M76/SUM(M76:M81)</f>
        <v>#DIV/0!</v>
      </c>
      <c r="Y76" s="6" t="e">
        <f t="shared" ref="Y76" si="23">N76/SUM(N76:N81)</f>
        <v>#DIV/0!</v>
      </c>
      <c r="Z76" s="6" t="e">
        <f t="shared" ref="Z76" si="24">O76/SUM(O76:O81)</f>
        <v>#DIV/0!</v>
      </c>
      <c r="AB76" s="3"/>
    </row>
    <row r="77" spans="4:28" x14ac:dyDescent="0.35">
      <c r="D77" t="s">
        <v>45</v>
      </c>
      <c r="E77" t="s">
        <v>43</v>
      </c>
      <c r="G77" s="4"/>
      <c r="N77" s="4"/>
      <c r="O77" s="4"/>
      <c r="Q77" s="6" t="e">
        <f>F77/SUM(F76:F81)</f>
        <v>#DIV/0!</v>
      </c>
      <c r="R77" s="6" t="e">
        <f t="shared" ref="R77" si="25">G77/SUM(G76:G81)</f>
        <v>#DIV/0!</v>
      </c>
      <c r="S77" s="6" t="e">
        <f t="shared" ref="S77" si="26">H77/SUM(H76:H81)</f>
        <v>#DIV/0!</v>
      </c>
      <c r="T77" s="6" t="e">
        <f t="shared" ref="T77" si="27">I77/SUM(I76:I81)</f>
        <v>#DIV/0!</v>
      </c>
      <c r="U77" s="6" t="e">
        <f t="shared" ref="U77" si="28">J77/SUM(J76:J81)</f>
        <v>#DIV/0!</v>
      </c>
      <c r="V77" s="6" t="e">
        <f t="shared" ref="V77" si="29">K77/SUM(K76:K81)</f>
        <v>#DIV/0!</v>
      </c>
      <c r="W77" s="6" t="e">
        <f t="shared" ref="W77" si="30">L77/SUM(L76:L81)</f>
        <v>#DIV/0!</v>
      </c>
      <c r="X77" s="6" t="e">
        <f t="shared" ref="X77" si="31">M77/SUM(M76:M81)</f>
        <v>#DIV/0!</v>
      </c>
      <c r="Y77" s="6" t="e">
        <f t="shared" ref="Y77" si="32">N77/SUM(N76:N81)</f>
        <v>#DIV/0!</v>
      </c>
      <c r="Z77" s="6" t="e">
        <f t="shared" ref="Z77" si="33">O77/SUM(O76:O81)</f>
        <v>#DIV/0!</v>
      </c>
      <c r="AB77" s="3"/>
    </row>
    <row r="78" spans="4:28" x14ac:dyDescent="0.35">
      <c r="D78" t="s">
        <v>46</v>
      </c>
      <c r="E78" t="s">
        <v>43</v>
      </c>
      <c r="G78" s="4"/>
      <c r="N78" s="4"/>
      <c r="O78" s="4"/>
      <c r="Q78" s="6" t="e">
        <f>F78/SUM(F76:F81)</f>
        <v>#DIV/0!</v>
      </c>
      <c r="R78" s="6" t="e">
        <f t="shared" ref="R78" si="34">G78/SUM(G76:G81)</f>
        <v>#DIV/0!</v>
      </c>
      <c r="S78" s="6" t="e">
        <f t="shared" ref="S78" si="35">H78/SUM(H76:H81)</f>
        <v>#DIV/0!</v>
      </c>
      <c r="T78" s="6" t="e">
        <f t="shared" ref="T78" si="36">I78/SUM(I76:I81)</f>
        <v>#DIV/0!</v>
      </c>
      <c r="U78" s="6" t="e">
        <f t="shared" ref="U78" si="37">J78/SUM(J76:J81)</f>
        <v>#DIV/0!</v>
      </c>
      <c r="V78" s="6" t="e">
        <f t="shared" ref="V78" si="38">K78/SUM(K76:K81)</f>
        <v>#DIV/0!</v>
      </c>
      <c r="W78" s="6" t="e">
        <f t="shared" ref="W78" si="39">L78/SUM(L76:L81)</f>
        <v>#DIV/0!</v>
      </c>
      <c r="X78" s="6" t="e">
        <f t="shared" ref="X78" si="40">M78/SUM(M76:M81)</f>
        <v>#DIV/0!</v>
      </c>
      <c r="Y78" s="6" t="e">
        <f t="shared" ref="Y78" si="41">N78/SUM(N76:N81)</f>
        <v>#DIV/0!</v>
      </c>
      <c r="Z78" s="6" t="e">
        <f t="shared" ref="Z78" si="42">O78/SUM(O76:O81)</f>
        <v>#DIV/0!</v>
      </c>
      <c r="AB78" s="3"/>
    </row>
    <row r="79" spans="4:28" x14ac:dyDescent="0.35">
      <c r="D79" t="s">
        <v>47</v>
      </c>
      <c r="E79" t="s">
        <v>43</v>
      </c>
      <c r="H79" s="4"/>
      <c r="J79" s="4"/>
      <c r="L79" s="4"/>
      <c r="Q79" s="6" t="e">
        <f>F79/SUM(F76:F81)</f>
        <v>#DIV/0!</v>
      </c>
      <c r="R79" s="6" t="e">
        <f t="shared" ref="R79" si="43">G79/SUM(G76:G81)</f>
        <v>#DIV/0!</v>
      </c>
      <c r="S79" s="6" t="e">
        <f t="shared" ref="S79" si="44">H79/SUM(H76:H81)</f>
        <v>#DIV/0!</v>
      </c>
      <c r="T79" s="6" t="e">
        <f t="shared" ref="T79" si="45">I79/SUM(I76:I81)</f>
        <v>#DIV/0!</v>
      </c>
      <c r="U79" s="6" t="e">
        <f t="shared" ref="U79" si="46">J79/SUM(J76:J81)</f>
        <v>#DIV/0!</v>
      </c>
      <c r="V79" s="6" t="e">
        <f t="shared" ref="V79" si="47">K79/SUM(K76:K81)</f>
        <v>#DIV/0!</v>
      </c>
      <c r="W79" s="6" t="e">
        <f t="shared" ref="W79" si="48">L79/SUM(L76:L81)</f>
        <v>#DIV/0!</v>
      </c>
      <c r="X79" s="6" t="e">
        <f t="shared" ref="X79" si="49">M79/SUM(M76:M81)</f>
        <v>#DIV/0!</v>
      </c>
      <c r="Y79" s="6" t="e">
        <f t="shared" ref="Y79" si="50">N79/SUM(N76:N81)</f>
        <v>#DIV/0!</v>
      </c>
      <c r="Z79" s="6" t="e">
        <f t="shared" ref="Z79" si="51">O79/SUM(O76:O81)</f>
        <v>#DIV/0!</v>
      </c>
      <c r="AB79" s="3"/>
    </row>
    <row r="80" spans="4:28" x14ac:dyDescent="0.35">
      <c r="D80" t="s">
        <v>48</v>
      </c>
      <c r="E80" t="s">
        <v>43</v>
      </c>
      <c r="Q80" s="6" t="e">
        <f>F80/SUM(F76:F81)</f>
        <v>#DIV/0!</v>
      </c>
      <c r="R80" s="6" t="e">
        <f t="shared" ref="R80" si="52">G80/SUM(G76:G81)</f>
        <v>#DIV/0!</v>
      </c>
      <c r="S80" s="6" t="e">
        <f t="shared" ref="S80" si="53">H80/SUM(H76:H81)</f>
        <v>#DIV/0!</v>
      </c>
      <c r="T80" s="6" t="e">
        <f t="shared" ref="T80" si="54">I80/SUM(I76:I81)</f>
        <v>#DIV/0!</v>
      </c>
      <c r="U80" s="6" t="e">
        <f t="shared" ref="U80" si="55">J80/SUM(J76:J81)</f>
        <v>#DIV/0!</v>
      </c>
      <c r="V80" s="6" t="e">
        <f t="shared" ref="V80" si="56">K80/SUM(K76:K81)</f>
        <v>#DIV/0!</v>
      </c>
      <c r="W80" s="6" t="e">
        <f t="shared" ref="W80" si="57">L80/SUM(L76:L81)</f>
        <v>#DIV/0!</v>
      </c>
      <c r="X80" s="6" t="e">
        <f t="shared" ref="X80" si="58">M80/SUM(M76:M81)</f>
        <v>#DIV/0!</v>
      </c>
      <c r="Y80" s="6" t="e">
        <f t="shared" ref="Y80" si="59">N80/SUM(N76:N81)</f>
        <v>#DIV/0!</v>
      </c>
      <c r="Z80" s="6" t="e">
        <f t="shared" ref="Z80" si="60">O80/SUM(O76:O81)</f>
        <v>#DIV/0!</v>
      </c>
      <c r="AB80" s="3"/>
    </row>
    <row r="81" spans="4:26" x14ac:dyDescent="0.35">
      <c r="D81" t="s">
        <v>49</v>
      </c>
      <c r="E81" t="s">
        <v>43</v>
      </c>
      <c r="M81" s="4"/>
      <c r="Q81" s="6" t="e">
        <f>F81/SUM(F76:F81)</f>
        <v>#DIV/0!</v>
      </c>
      <c r="R81" s="6" t="e">
        <f t="shared" ref="R81" si="61">G81/SUM(G76:G81)</f>
        <v>#DIV/0!</v>
      </c>
      <c r="S81" s="6" t="e">
        <f t="shared" ref="S81" si="62">H81/SUM(H76:H81)</f>
        <v>#DIV/0!</v>
      </c>
      <c r="T81" s="6" t="e">
        <f t="shared" ref="T81" si="63">I81/SUM(I76:I81)</f>
        <v>#DIV/0!</v>
      </c>
      <c r="U81" s="6" t="e">
        <f t="shared" ref="U81" si="64">J81/SUM(J76:J81)</f>
        <v>#DIV/0!</v>
      </c>
      <c r="V81" s="6" t="e">
        <f t="shared" ref="V81" si="65">K81/SUM(K76:K81)</f>
        <v>#DIV/0!</v>
      </c>
      <c r="W81" s="6" t="e">
        <f t="shared" ref="W81" si="66">L81/SUM(L76:L81)</f>
        <v>#DIV/0!</v>
      </c>
      <c r="X81" s="6" t="e">
        <f t="shared" ref="X81" si="67">M81/SUM(M76:M81)</f>
        <v>#DIV/0!</v>
      </c>
      <c r="Y81" s="6" t="e">
        <f t="shared" ref="Y81" si="68">N81/SUM(N76:N81)</f>
        <v>#DIV/0!</v>
      </c>
      <c r="Z81" s="6" t="e">
        <f t="shared" ref="Z81" si="69">O81/SUM(O76:O81)</f>
        <v>#DIV/0!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79928590FEC84F99CB6762C2907119" ma:contentTypeVersion="4" ma:contentTypeDescription="Create a new document." ma:contentTypeScope="" ma:versionID="2d153575175f5880fceb904af5e7128d">
  <xsd:schema xmlns:xsd="http://www.w3.org/2001/XMLSchema" xmlns:xs="http://www.w3.org/2001/XMLSchema" xmlns:p="http://schemas.microsoft.com/office/2006/metadata/properties" xmlns:ns2="e5a5b9bd-9134-4022-b2ad-00476465ba7a" targetNamespace="http://schemas.microsoft.com/office/2006/metadata/properties" ma:root="true" ma:fieldsID="6710924ce598e17c6897da4a01c81a94" ns2:_="">
    <xsd:import namespace="e5a5b9bd-9134-4022-b2ad-00476465ba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5b9bd-9134-4022-b2ad-00476465ba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A024F4-2BC9-4A78-A46D-EF0369C9D282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e5a5b9bd-9134-4022-b2ad-00476465ba7a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E5E24E4-F958-45A7-BDD1-1B769A6D762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E0CB68F-84B9-4DED-880B-1A6A1A6D95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5b9bd-9134-4022-b2ad-00476465ba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Meik</dc:creator>
  <cp:lastModifiedBy>Ten Hagen, R.W. (Richard, Student B-CSE)</cp:lastModifiedBy>
  <dcterms:created xsi:type="dcterms:W3CDTF">2021-02-20T06:48:08Z</dcterms:created>
  <dcterms:modified xsi:type="dcterms:W3CDTF">2021-06-22T15:57:16Z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0x0101007179928590FEC84F99CB6762C2907119</vt:lpwstr>
  </property>
</Properties>
</file>